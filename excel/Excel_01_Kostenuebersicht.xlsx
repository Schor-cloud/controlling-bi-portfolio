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Portfolio Jobs\"/>
    </mc:Choice>
  </mc:AlternateContent>
  <xr:revisionPtr revIDLastSave="0" documentId="13_ncr:1_{C9C16764-1253-4C64-B7CA-0482D0578B57}" xr6:coauthVersionLast="47" xr6:coauthVersionMax="47" xr10:uidLastSave="{00000000-0000-0000-0000-000000000000}"/>
  <bookViews>
    <workbookView xWindow="-120" yWindow="-120" windowWidth="29040" windowHeight="15720" xr2:uid="{D9F4331B-A55F-4022-BD0E-1E55A9DE1C75}"/>
  </bookViews>
  <sheets>
    <sheet name="Übersicht" sheetId="5" r:id="rId1"/>
    <sheet name="Pivot_Kostenart_Monat" sheetId="3" r:id="rId2"/>
    <sheet name="Pivot_KOstenstellen" sheetId="4" r:id="rId3"/>
    <sheet name="Ausgangsdaten" sheetId="1" r:id="rId4"/>
    <sheet name="Daten bereinigt" sheetId="2" r:id="rId5"/>
  </sheets>
  <definedNames>
    <definedName name="_xlcn.WorksheetConnection_Mappe1tbl_Daten_bereinigt1" hidden="1">tbl_Daten_bereinigt[]</definedName>
  </definedNames>
  <calcPr calcId="191029"/>
  <pivotCaches>
    <pivotCache cacheId="22" r:id="rId6"/>
    <pivotCache cacheId="27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Daten_bereinigt" name="tbl_Daten_bereinigt" connection="WorksheetConnection_Mappe1!tbl_Daten_bereinig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54983C-ECE7-408B-B50C-44200BDC06A5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3FB5295-4F3A-45AD-9BA6-75BE52575401}" name="WorksheetConnection_Mappe1!tbl_Daten_bereinigt" type="102" refreshedVersion="8" minRefreshableVersion="5">
    <extLst>
      <ext xmlns:x15="http://schemas.microsoft.com/office/spreadsheetml/2010/11/main" uri="{DE250136-89BD-433C-8126-D09CA5730AF9}">
        <x15:connection id="tbl_Daten_bereinigt" autoDelete="1">
          <x15:rangePr sourceName="_xlcn.WorksheetConnection_Mappe1tbl_Daten_bereinigt1"/>
        </x15:connection>
      </ext>
    </extLst>
  </connection>
</connections>
</file>

<file path=xl/sharedStrings.xml><?xml version="1.0" encoding="utf-8"?>
<sst xmlns="http://schemas.openxmlformats.org/spreadsheetml/2006/main" count="169" uniqueCount="55">
  <si>
    <t>Monat;Kostenstelle;Kostenart;Betrag</t>
  </si>
  <si>
    <t>2024-01;Vertrieb;Personalkosten;18000</t>
  </si>
  <si>
    <t>2024-01;Vertrieb;Miete;3000</t>
  </si>
  <si>
    <t>2024-01;Vertrieb;Energie;1200</t>
  </si>
  <si>
    <t>2024-01;Vertrieb;Sonstiges;800</t>
  </si>
  <si>
    <t>2024-01;Logistik;Personalkosten;15000</t>
  </si>
  <si>
    <t>2024-01;Logistik;Miete;4000</t>
  </si>
  <si>
    <t>2024-01;Logistik;Energie;2000</t>
  </si>
  <si>
    <t>2024-01;Logistik;Sonstiges;900</t>
  </si>
  <si>
    <t>2024-01;Verwaltung;Personalkosten;14000</t>
  </si>
  <si>
    <t>2024-01;Verwaltung;Miete;3500</t>
  </si>
  <si>
    <t>2024-01;Verwaltung;Energie;1100</t>
  </si>
  <si>
    <t>2024-01;Verwaltung;Sonstiges;700</t>
  </si>
  <si>
    <t>2024-02;Vertrieb;Personalkosten;18200</t>
  </si>
  <si>
    <t>2024-02;Vertrieb;Miete;3000</t>
  </si>
  <si>
    <t>2024-02;Vertrieb;Energie;1250</t>
  </si>
  <si>
    <t>2024-02;Vertrieb;Sonstiges;900</t>
  </si>
  <si>
    <t>2024-02;Logistik;Personalkosten;15200</t>
  </si>
  <si>
    <t>2024-02;Logistik;Miete;4000</t>
  </si>
  <si>
    <t>2024-02;Logistik;Energie;2100</t>
  </si>
  <si>
    <t>2024-02;Logistik;Sonstiges;950</t>
  </si>
  <si>
    <t>2024-02;Verwaltung;Personalkosten;14100</t>
  </si>
  <si>
    <t>2024-02;Verwaltung;Miete;3500</t>
  </si>
  <si>
    <t>2024-02;Verwaltung;Energie;1150</t>
  </si>
  <si>
    <t>2024-02;Verwaltung;Sonstiges;750</t>
  </si>
  <si>
    <t>2024-03;Vertrieb;Personalkosten;18500</t>
  </si>
  <si>
    <t>2024-03;Vertrieb;Miete;3000</t>
  </si>
  <si>
    <t>2024-03;Vertrieb;Energie;1300</t>
  </si>
  <si>
    <t>2024-03;Vertrieb;Sonstiges;850</t>
  </si>
  <si>
    <t>2024-03;Logistik;Personalkosten;15500</t>
  </si>
  <si>
    <t>2024-03;Logistik;Miete;4000</t>
  </si>
  <si>
    <t>2024-03;Logistik;Energie;2200</t>
  </si>
  <si>
    <t>2024-03;Logistik;Sonstiges;1000</t>
  </si>
  <si>
    <t>2024-03;Verwaltung;Personalkosten;14300</t>
  </si>
  <si>
    <t>2024-03;Verwaltung;Miete;3500</t>
  </si>
  <si>
    <t>2024-03;Verwaltung;Energie;1200</t>
  </si>
  <si>
    <t>2024-03;Verwaltung;Sonstiges;800</t>
  </si>
  <si>
    <t>Monat</t>
  </si>
  <si>
    <t>Kostenstelle</t>
  </si>
  <si>
    <t>Kostenart</t>
  </si>
  <si>
    <t>Betrag</t>
  </si>
  <si>
    <t>2024-01</t>
  </si>
  <si>
    <t>Vertrieb</t>
  </si>
  <si>
    <t>Personalkosten</t>
  </si>
  <si>
    <t>Miete</t>
  </si>
  <si>
    <t>Energie</t>
  </si>
  <si>
    <t>Sonstiges</t>
  </si>
  <si>
    <t>Logistik</t>
  </si>
  <si>
    <t>Verwaltung</t>
  </si>
  <si>
    <t>2024-02</t>
  </si>
  <si>
    <t>2024-03</t>
  </si>
  <si>
    <t>Zeilenbeschriftungen</t>
  </si>
  <si>
    <t>Gesamtergebnis</t>
  </si>
  <si>
    <t>Summe von Betrag</t>
  </si>
  <si>
    <t>Spaltenbeschriftungen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</si>
</sst>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[Excel_01_Kostenuebersicht.xlsx]Pivot_Kostenart_Monat!Kostenart_Moant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Personalkosten</a:t>
            </a:r>
            <a:r>
              <a:rPr lang="de-DE" baseline="0"/>
              <a:t> Monat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Pivot_Kostenart_Monat!$B$3:$B$4</c:f>
              <c:strCache>
                <c:ptCount val="1"/>
                <c:pt idx="0">
                  <c:v>2024-01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Pivot_Kostenart_Monat!$A$5:$A$6</c:f>
              <c:strCache>
                <c:ptCount val="1"/>
                <c:pt idx="0">
                  <c:v>Personalkosten</c:v>
                </c:pt>
              </c:strCache>
            </c:strRef>
          </c:cat>
          <c:val>
            <c:numRef>
              <c:f>Pivot_Kostenart_Monat!$B$5:$B$6</c:f>
              <c:numCache>
                <c:formatCode>0</c:formatCode>
                <c:ptCount val="1"/>
                <c:pt idx="0">
                  <c:v>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7-4D53-8B14-BA7D9FB5C55B}"/>
            </c:ext>
          </c:extLst>
        </c:ser>
        <c:ser>
          <c:idx val="1"/>
          <c:order val="1"/>
          <c:tx>
            <c:strRef>
              <c:f>Pivot_Kostenart_Monat!$C$3:$C$4</c:f>
              <c:strCache>
                <c:ptCount val="1"/>
                <c:pt idx="0">
                  <c:v>2024-02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Pivot_Kostenart_Monat!$A$5:$A$6</c:f>
              <c:strCache>
                <c:ptCount val="1"/>
                <c:pt idx="0">
                  <c:v>Personalkosten</c:v>
                </c:pt>
              </c:strCache>
            </c:strRef>
          </c:cat>
          <c:val>
            <c:numRef>
              <c:f>Pivot_Kostenart_Monat!$C$5:$C$6</c:f>
              <c:numCache>
                <c:formatCode>0</c:formatCode>
                <c:ptCount val="1"/>
                <c:pt idx="0">
                  <c:v>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7-4D53-8B14-BA7D9FB5C55B}"/>
            </c:ext>
          </c:extLst>
        </c:ser>
        <c:ser>
          <c:idx val="2"/>
          <c:order val="2"/>
          <c:tx>
            <c:strRef>
              <c:f>Pivot_Kostenart_Monat!$D$3:$D$4</c:f>
              <c:strCache>
                <c:ptCount val="1"/>
                <c:pt idx="0">
                  <c:v>2024-03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Pivot_Kostenart_Monat!$A$5:$A$6</c:f>
              <c:strCache>
                <c:ptCount val="1"/>
                <c:pt idx="0">
                  <c:v>Personalkosten</c:v>
                </c:pt>
              </c:strCache>
            </c:strRef>
          </c:cat>
          <c:val>
            <c:numRef>
              <c:f>Pivot_Kostenart_Monat!$D$5:$D$6</c:f>
              <c:numCache>
                <c:formatCode>0</c:formatCode>
                <c:ptCount val="1"/>
                <c:pt idx="0">
                  <c:v>48300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67-4D53-8B14-BA7D9FB5C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275488"/>
        <c:axId val="1153275968"/>
      </c:barChart>
      <c:catAx>
        <c:axId val="115327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3275968"/>
        <c:crosses val="autoZero"/>
        <c:auto val="1"/>
        <c:lblAlgn val="ctr"/>
        <c:lblOffset val="100"/>
        <c:noMultiLvlLbl val="0"/>
      </c:catAx>
      <c:valAx>
        <c:axId val="115327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327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[Excel_01_Kostenuebersicht.xlsx]Pivot_KOstenstellen!Kostenstellen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Gesamtkosten je Kostenstelle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Pivot_KOstenstellen!$B$3:$B$4</c:f>
              <c:strCache>
                <c:ptCount val="1"/>
                <c:pt idx="0">
                  <c:v>2024-01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Pivot_KOstenstellen!$A$5:$A$8</c:f>
              <c:strCache>
                <c:ptCount val="3"/>
                <c:pt idx="0">
                  <c:v>Logistik</c:v>
                </c:pt>
                <c:pt idx="1">
                  <c:v>Vertrieb</c:v>
                </c:pt>
                <c:pt idx="2">
                  <c:v>Verwaltung</c:v>
                </c:pt>
              </c:strCache>
            </c:strRef>
          </c:cat>
          <c:val>
            <c:numRef>
              <c:f>Pivot_KOstenstellen!$B$5:$B$8</c:f>
              <c:numCache>
                <c:formatCode>0</c:formatCode>
                <c:ptCount val="3"/>
                <c:pt idx="0">
                  <c:v>21900</c:v>
                </c:pt>
                <c:pt idx="1">
                  <c:v>23000</c:v>
                </c:pt>
                <c:pt idx="2">
                  <c:v>19300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9-49E4-949A-2C79BE542A95}"/>
            </c:ext>
          </c:extLst>
        </c:ser>
        <c:ser>
          <c:idx val="1"/>
          <c:order val="1"/>
          <c:tx>
            <c:strRef>
              <c:f>Pivot_KOstenstellen!$C$3:$C$4</c:f>
              <c:strCache>
                <c:ptCount val="1"/>
                <c:pt idx="0">
                  <c:v>2024-02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Pivot_KOstenstellen!$A$5:$A$8</c:f>
              <c:strCache>
                <c:ptCount val="3"/>
                <c:pt idx="0">
                  <c:v>Logistik</c:v>
                </c:pt>
                <c:pt idx="1">
                  <c:v>Vertrieb</c:v>
                </c:pt>
                <c:pt idx="2">
                  <c:v>Verwaltung</c:v>
                </c:pt>
              </c:strCache>
            </c:strRef>
          </c:cat>
          <c:val>
            <c:numRef>
              <c:f>Pivot_KOstenstellen!$C$5:$C$8</c:f>
              <c:numCache>
                <c:formatCode>0</c:formatCode>
                <c:ptCount val="3"/>
                <c:pt idx="0">
                  <c:v>22250</c:v>
                </c:pt>
                <c:pt idx="1">
                  <c:v>23350</c:v>
                </c:pt>
                <c:pt idx="2">
                  <c:v>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9-49E4-949A-2C79BE542A95}"/>
            </c:ext>
          </c:extLst>
        </c:ser>
        <c:ser>
          <c:idx val="2"/>
          <c:order val="2"/>
          <c:tx>
            <c:strRef>
              <c:f>Pivot_KOstenstellen!$D$3:$D$4</c:f>
              <c:strCache>
                <c:ptCount val="1"/>
                <c:pt idx="0">
                  <c:v>2024-03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Pivot_KOstenstellen!$A$5:$A$8</c:f>
              <c:strCache>
                <c:ptCount val="3"/>
                <c:pt idx="0">
                  <c:v>Logistik</c:v>
                </c:pt>
                <c:pt idx="1">
                  <c:v>Vertrieb</c:v>
                </c:pt>
                <c:pt idx="2">
                  <c:v>Verwaltung</c:v>
                </c:pt>
              </c:strCache>
            </c:strRef>
          </c:cat>
          <c:val>
            <c:numRef>
              <c:f>Pivot_KOstenstellen!$D$5:$D$8</c:f>
              <c:numCache>
                <c:formatCode>0</c:formatCode>
                <c:ptCount val="3"/>
                <c:pt idx="0">
                  <c:v>22700</c:v>
                </c:pt>
                <c:pt idx="1">
                  <c:v>23650</c:v>
                </c:pt>
                <c:pt idx="2">
                  <c:v>19800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49-49E4-949A-2C79BE542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622991"/>
        <c:axId val="1615633551"/>
      </c:barChart>
      <c:catAx>
        <c:axId val="161562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5633551"/>
        <c:crosses val="autoZero"/>
        <c:auto val="1"/>
        <c:lblAlgn val="ctr"/>
        <c:lblOffset val="100"/>
        <c:noMultiLvlLbl val="0"/>
      </c:catAx>
      <c:valAx>
        <c:axId val="161563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562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161925</xdr:rowOff>
    </xdr:from>
    <xdr:to>
      <xdr:col>6</xdr:col>
      <xdr:colOff>638175</xdr:colOff>
      <xdr:row>16</xdr:row>
      <xdr:rowOff>180975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689BFD7-6B9D-4CCB-BEBC-0F378346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276225</xdr:colOff>
      <xdr:row>3</xdr:row>
      <xdr:rowOff>19050</xdr:rowOff>
    </xdr:from>
    <xdr:to>
      <xdr:col>15</xdr:col>
      <xdr:colOff>38100</xdr:colOff>
      <xdr:row>17</xdr:row>
      <xdr:rowOff>19050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79089E5-C5E8-48BD-8A3F-E3A4CF68C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Schor" refreshedDate="45998.867364699072" createdVersion="8" refreshedVersion="8" minRefreshableVersion="3" recordCount="36" xr:uid="{B5E960DC-A883-477D-A89C-657C1ADD3CD8}">
  <cacheSource type="worksheet">
    <worksheetSource name="tbl_Daten_bereinigt"/>
  </cacheSource>
  <cacheFields count="4">
    <cacheField name="Monat" numFmtId="0">
      <sharedItems count="3">
        <s v="2024-01"/>
        <s v="2024-02"/>
        <s v="2024-03"/>
      </sharedItems>
    </cacheField>
    <cacheField name="Kostenstelle" numFmtId="0">
      <sharedItems count="3">
        <s v="Vertrieb"/>
        <s v="Logistik"/>
        <s v="Verwaltung"/>
      </sharedItems>
    </cacheField>
    <cacheField name="Kostenart" numFmtId="0">
      <sharedItems/>
    </cacheField>
    <cacheField name="Betrag" numFmtId="0">
      <sharedItems containsSemiMixedTypes="0" containsString="0" containsNumber="1" containsInteger="1" minValue="700" maxValue="18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topher Schor" refreshedDate="45998.878445833332" backgroundQuery="1" createdVersion="8" refreshedVersion="8" minRefreshableVersion="3" recordCount="0" supportSubquery="1" supportAdvancedDrill="1" xr:uid="{52B419A7-8B35-4030-AFC7-EBBDBF87FB8A}">
  <cacheSource type="external" connectionId="1"/>
  <cacheFields count="3">
    <cacheField name="[tbl_Daten_bereinigt].[Kostenart].[Kostenart]" caption="Kostenart" numFmtId="0" hierarchy="2" level="1">
      <sharedItems count="1">
        <s v="Personalkosten"/>
      </sharedItems>
    </cacheField>
    <cacheField name="[Measures].[Summe von Betrag]" caption="Summe von Betrag" numFmtId="0" hierarchy="6" level="32767"/>
    <cacheField name="[tbl_Daten_bereinigt].[Monat].[Monat]" caption="Monat" numFmtId="0" level="1">
      <sharedItems count="3">
        <s v="2024-01"/>
        <s v="2024-02"/>
        <s v="2024-03"/>
      </sharedItems>
    </cacheField>
  </cacheFields>
  <cacheHierarchies count="7">
    <cacheHierarchy uniqueName="[tbl_Daten_bereinigt].[Monat]" caption="Monat" attribute="1" defaultMemberUniqueName="[tbl_Daten_bereinigt].[Monat].[All]" allUniqueName="[tbl_Daten_bereinigt].[Monat].[All]" dimensionUniqueName="[tbl_Daten_bereinigt]" displayFolder="" count="2" memberValueDatatype="130" unbalanced="0">
      <fieldsUsage count="2">
        <fieldUsage x="-1"/>
        <fieldUsage x="2"/>
      </fieldsUsage>
    </cacheHierarchy>
    <cacheHierarchy uniqueName="[tbl_Daten_bereinigt].[Kostenstelle]" caption="Kostenstelle" attribute="1" defaultMemberUniqueName="[tbl_Daten_bereinigt].[Kostenstelle].[All]" allUniqueName="[tbl_Daten_bereinigt].[Kostenstelle].[All]" dimensionUniqueName="[tbl_Daten_bereinigt]" displayFolder="" count="0" memberValueDatatype="130" unbalanced="0"/>
    <cacheHierarchy uniqueName="[tbl_Daten_bereinigt].[Kostenart]" caption="Kostenart" attribute="1" defaultMemberUniqueName="[tbl_Daten_bereinigt].[Kostenart].[All]" allUniqueName="[tbl_Daten_bereinigt].[Kostenart].[All]" dimensionUniqueName="[tbl_Daten_bereinigt]" displayFolder="" count="2" memberValueDatatype="130" unbalanced="0">
      <fieldsUsage count="2">
        <fieldUsage x="-1"/>
        <fieldUsage x="0"/>
      </fieldsUsage>
    </cacheHierarchy>
    <cacheHierarchy uniqueName="[tbl_Daten_bereinigt].[Betrag]" caption="Betrag" attribute="1" defaultMemberUniqueName="[tbl_Daten_bereinigt].[Betrag].[All]" allUniqueName="[tbl_Daten_bereinigt].[Betrag].[All]" dimensionUniqueName="[tbl_Daten_bereinigt]" displayFolder="" count="0" memberValueDatatype="20" unbalanced="0"/>
    <cacheHierarchy uniqueName="[Measures].[__XL_Count tbl_Daten_bereinigt]" caption="__XL_Count tbl_Daten_bereinigt" measure="1" displayFolder="" measureGroup="tbl_Daten_bereinigt" count="0" hidden="1"/>
    <cacheHierarchy uniqueName="[Measures].[__No measures defined]" caption="__No measures defined" measure="1" displayFolder="" count="0" hidden="1"/>
    <cacheHierarchy uniqueName="[Measures].[Summe von Betrag]" caption="Summe von Betrag" measure="1" displayFolder="" measureGroup="tbl_Daten_bereinig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bl_Daten_bereinigt" uniqueName="[tbl_Daten_bereinigt]" caption="tbl_Daten_bereinigt"/>
  </dimensions>
  <measureGroups count="1">
    <measureGroup name="tbl_Daten_bereinigt" caption="tbl_Daten_bereinig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s v="Personalkosten"/>
    <n v="18000"/>
  </r>
  <r>
    <x v="0"/>
    <x v="0"/>
    <s v="Miete"/>
    <n v="3000"/>
  </r>
  <r>
    <x v="0"/>
    <x v="0"/>
    <s v="Energie"/>
    <n v="1200"/>
  </r>
  <r>
    <x v="0"/>
    <x v="0"/>
    <s v="Sonstiges"/>
    <n v="800"/>
  </r>
  <r>
    <x v="0"/>
    <x v="1"/>
    <s v="Personalkosten"/>
    <n v="15000"/>
  </r>
  <r>
    <x v="0"/>
    <x v="1"/>
    <s v="Miete"/>
    <n v="4000"/>
  </r>
  <r>
    <x v="0"/>
    <x v="1"/>
    <s v="Energie"/>
    <n v="2000"/>
  </r>
  <r>
    <x v="0"/>
    <x v="1"/>
    <s v="Sonstiges"/>
    <n v="900"/>
  </r>
  <r>
    <x v="0"/>
    <x v="2"/>
    <s v="Personalkosten"/>
    <n v="14000"/>
  </r>
  <r>
    <x v="0"/>
    <x v="2"/>
    <s v="Miete"/>
    <n v="3500"/>
  </r>
  <r>
    <x v="0"/>
    <x v="2"/>
    <s v="Energie"/>
    <n v="1100"/>
  </r>
  <r>
    <x v="0"/>
    <x v="2"/>
    <s v="Sonstiges"/>
    <n v="700"/>
  </r>
  <r>
    <x v="1"/>
    <x v="0"/>
    <s v="Personalkosten"/>
    <n v="18200"/>
  </r>
  <r>
    <x v="1"/>
    <x v="0"/>
    <s v="Miete"/>
    <n v="3000"/>
  </r>
  <r>
    <x v="1"/>
    <x v="0"/>
    <s v="Energie"/>
    <n v="1250"/>
  </r>
  <r>
    <x v="1"/>
    <x v="0"/>
    <s v="Sonstiges"/>
    <n v="900"/>
  </r>
  <r>
    <x v="1"/>
    <x v="1"/>
    <s v="Personalkosten"/>
    <n v="15200"/>
  </r>
  <r>
    <x v="1"/>
    <x v="1"/>
    <s v="Miete"/>
    <n v="4000"/>
  </r>
  <r>
    <x v="1"/>
    <x v="1"/>
    <s v="Energie"/>
    <n v="2100"/>
  </r>
  <r>
    <x v="1"/>
    <x v="1"/>
    <s v="Sonstiges"/>
    <n v="950"/>
  </r>
  <r>
    <x v="1"/>
    <x v="2"/>
    <s v="Personalkosten"/>
    <n v="14100"/>
  </r>
  <r>
    <x v="1"/>
    <x v="2"/>
    <s v="Miete"/>
    <n v="3500"/>
  </r>
  <r>
    <x v="1"/>
    <x v="2"/>
    <s v="Energie"/>
    <n v="1150"/>
  </r>
  <r>
    <x v="1"/>
    <x v="2"/>
    <s v="Sonstiges"/>
    <n v="750"/>
  </r>
  <r>
    <x v="2"/>
    <x v="0"/>
    <s v="Personalkosten"/>
    <n v="18500"/>
  </r>
  <r>
    <x v="2"/>
    <x v="0"/>
    <s v="Miete"/>
    <n v="3000"/>
  </r>
  <r>
    <x v="2"/>
    <x v="0"/>
    <s v="Energie"/>
    <n v="1300"/>
  </r>
  <r>
    <x v="2"/>
    <x v="0"/>
    <s v="Sonstiges"/>
    <n v="850"/>
  </r>
  <r>
    <x v="2"/>
    <x v="1"/>
    <s v="Personalkosten"/>
    <n v="15500"/>
  </r>
  <r>
    <x v="2"/>
    <x v="1"/>
    <s v="Miete"/>
    <n v="4000"/>
  </r>
  <r>
    <x v="2"/>
    <x v="1"/>
    <s v="Energie"/>
    <n v="2200"/>
  </r>
  <r>
    <x v="2"/>
    <x v="1"/>
    <s v="Sonstiges"/>
    <n v="1000"/>
  </r>
  <r>
    <x v="2"/>
    <x v="2"/>
    <s v="Personalkosten"/>
    <n v="14300"/>
  </r>
  <r>
    <x v="2"/>
    <x v="2"/>
    <s v="Miete"/>
    <n v="3500"/>
  </r>
  <r>
    <x v="2"/>
    <x v="2"/>
    <s v="Energie"/>
    <n v="1200"/>
  </r>
  <r>
    <x v="2"/>
    <x v="2"/>
    <s v="Sonstiges"/>
    <n v="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8E5EB-75CB-49C4-9B0C-667023786EA3}" name="Kostenart_Moant" cacheId="2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6">
  <location ref="A3:E6" firstHeaderRow="1" firstDataRow="2" firstDataCol="1"/>
  <pivotFields count="3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me von Betrag" fld="1" baseField="0" baseItem="0" numFmtId="1"/>
  </dataFields>
  <chartFormats count="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7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ppe1!tbl_Daten_bereinigt">
        <x15:activeTabTopLevelEntity name="[tbl_Daten_bereinig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032B4-F9EA-4454-AE80-F6ADB493E5BE}" name="Kostenstellen" cacheId="2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5">
  <location ref="A3:E8" firstHeaderRow="1" firstDataRow="2" firstDataCol="1"/>
  <pivotFields count="4">
    <pivotField axis="axisCol" showAll="0">
      <items count="4">
        <item x="0"/>
        <item x="1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me von Betrag" fld="3" baseField="0" baseItem="0" numFmtId="1"/>
  </dataField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43EEE2-94D1-4B50-9092-CE6EC3C84CD7}" name="tbl_Daten_bereinigt" displayName="tbl_Daten_bereinigt" ref="A1:D37" totalsRowShown="0">
  <autoFilter ref="A1:D37" xr:uid="{7043EEE2-94D1-4B50-9092-CE6EC3C84CD7}"/>
  <tableColumns count="4">
    <tableColumn id="1" xr3:uid="{A3D71B80-5D77-4854-A970-E20894C5DD34}" name="Monat"/>
    <tableColumn id="2" xr3:uid="{66E5D0E1-8B24-4881-ADA8-15AC0008637B}" name="Kostenstelle"/>
    <tableColumn id="3" xr3:uid="{62F27B8B-BCA6-482E-94D0-0965B2A63014}" name="Kostenart"/>
    <tableColumn id="4" xr3:uid="{C87243A4-2FED-4E8A-95AC-82C6438BFB8A}" name="Betrag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9713-E4F5-4BB2-AE8B-4F7FD4172FAB}">
  <dimension ref="A1"/>
  <sheetViews>
    <sheetView tabSelected="1" workbookViewId="0">
      <selection activeCell="P23" sqref="P23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6DCF-6EE6-4CA0-91C9-14840E196DBE}">
  <dimension ref="A3:E6"/>
  <sheetViews>
    <sheetView workbookViewId="0">
      <selection activeCell="D28" sqref="D28"/>
    </sheetView>
  </sheetViews>
  <sheetFormatPr baseColWidth="10" defaultRowHeight="15" x14ac:dyDescent="0.25"/>
  <cols>
    <col min="1" max="1" width="22.7109375" bestFit="1" customWidth="1"/>
    <col min="2" max="2" width="24.140625" bestFit="1" customWidth="1"/>
    <col min="3" max="4" width="7.7109375" bestFit="1" customWidth="1"/>
    <col min="5" max="5" width="15.85546875" bestFit="1" customWidth="1"/>
  </cols>
  <sheetData>
    <row r="3" spans="1:5" x14ac:dyDescent="0.25">
      <c r="A3" s="1" t="s">
        <v>53</v>
      </c>
      <c r="B3" s="1" t="s">
        <v>54</v>
      </c>
    </row>
    <row r="4" spans="1:5" x14ac:dyDescent="0.25">
      <c r="A4" s="1" t="s">
        <v>51</v>
      </c>
      <c r="B4" t="s">
        <v>41</v>
      </c>
      <c r="C4" t="s">
        <v>49</v>
      </c>
      <c r="D4" t="s">
        <v>50</v>
      </c>
      <c r="E4" t="s">
        <v>52</v>
      </c>
    </row>
    <row r="5" spans="1:5" x14ac:dyDescent="0.25">
      <c r="A5" s="2" t="s">
        <v>43</v>
      </c>
      <c r="B5" s="3">
        <v>47000</v>
      </c>
      <c r="C5" s="3">
        <v>47500</v>
      </c>
      <c r="D5" s="3">
        <v>48300</v>
      </c>
      <c r="E5" s="3">
        <v>142800</v>
      </c>
    </row>
    <row r="6" spans="1:5" x14ac:dyDescent="0.25">
      <c r="A6" s="2" t="s">
        <v>52</v>
      </c>
      <c r="B6" s="3">
        <v>47000</v>
      </c>
      <c r="C6" s="3">
        <v>47500</v>
      </c>
      <c r="D6" s="3">
        <v>48300</v>
      </c>
      <c r="E6" s="3">
        <v>142800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855C-FC8F-48AA-B0BE-A6332ED1982E}">
  <dimension ref="A3:E8"/>
  <sheetViews>
    <sheetView workbookViewId="0">
      <selection activeCell="B6" sqref="B6"/>
    </sheetView>
  </sheetViews>
  <sheetFormatPr baseColWidth="10" defaultRowHeight="15" x14ac:dyDescent="0.25"/>
  <cols>
    <col min="1" max="1" width="22.7109375" bestFit="1" customWidth="1"/>
    <col min="2" max="2" width="24.140625" bestFit="1" customWidth="1"/>
    <col min="3" max="4" width="7.7109375" bestFit="1" customWidth="1"/>
    <col min="5" max="5" width="15.85546875" bestFit="1" customWidth="1"/>
  </cols>
  <sheetData>
    <row r="3" spans="1:5" x14ac:dyDescent="0.25">
      <c r="A3" s="1" t="s">
        <v>53</v>
      </c>
      <c r="B3" s="1" t="s">
        <v>54</v>
      </c>
    </row>
    <row r="4" spans="1:5" x14ac:dyDescent="0.25">
      <c r="A4" s="1" t="s">
        <v>51</v>
      </c>
      <c r="B4" t="s">
        <v>41</v>
      </c>
      <c r="C4" t="s">
        <v>49</v>
      </c>
      <c r="D4" t="s">
        <v>50</v>
      </c>
      <c r="E4" t="s">
        <v>52</v>
      </c>
    </row>
    <row r="5" spans="1:5" x14ac:dyDescent="0.25">
      <c r="A5" s="2" t="s">
        <v>47</v>
      </c>
      <c r="B5" s="3">
        <v>21900</v>
      </c>
      <c r="C5" s="3">
        <v>22250</v>
      </c>
      <c r="D5" s="3">
        <v>22700</v>
      </c>
      <c r="E5" s="3">
        <v>66850</v>
      </c>
    </row>
    <row r="6" spans="1:5" x14ac:dyDescent="0.25">
      <c r="A6" s="2" t="s">
        <v>42</v>
      </c>
      <c r="B6" s="3">
        <v>23000</v>
      </c>
      <c r="C6" s="3">
        <v>23350</v>
      </c>
      <c r="D6" s="3">
        <v>23650</v>
      </c>
      <c r="E6" s="3">
        <v>70000</v>
      </c>
    </row>
    <row r="7" spans="1:5" x14ac:dyDescent="0.25">
      <c r="A7" s="2" t="s">
        <v>48</v>
      </c>
      <c r="B7" s="3">
        <v>19300</v>
      </c>
      <c r="C7" s="3">
        <v>19500</v>
      </c>
      <c r="D7" s="3">
        <v>19800</v>
      </c>
      <c r="E7" s="3">
        <v>58600</v>
      </c>
    </row>
    <row r="8" spans="1:5" x14ac:dyDescent="0.25">
      <c r="A8" s="2" t="s">
        <v>52</v>
      </c>
      <c r="B8" s="3">
        <v>64200</v>
      </c>
      <c r="C8" s="3">
        <v>65100</v>
      </c>
      <c r="D8" s="3">
        <v>66150</v>
      </c>
      <c r="E8" s="3">
        <v>195450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D0BB-31E6-4CB2-B1D9-BAE955D14B36}">
  <dimension ref="A1:A37"/>
  <sheetViews>
    <sheetView workbookViewId="0">
      <selection activeCell="H24" sqref="H2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1D7B-44D7-468E-8293-D5AB0B41812D}">
  <dimension ref="A1:D37"/>
  <sheetViews>
    <sheetView workbookViewId="0">
      <selection activeCell="A14" sqref="A14"/>
    </sheetView>
  </sheetViews>
  <sheetFormatPr baseColWidth="10" defaultRowHeight="15" x14ac:dyDescent="0.25"/>
  <cols>
    <col min="2" max="2" width="13.85546875" customWidth="1"/>
    <col min="3" max="3" width="11.5703125" customWidth="1"/>
  </cols>
  <sheetData>
    <row r="1" spans="1:4" x14ac:dyDescent="0.25">
      <c r="A1" t="s">
        <v>37</v>
      </c>
      <c r="B1" t="s">
        <v>38</v>
      </c>
      <c r="C1" t="s">
        <v>39</v>
      </c>
      <c r="D1" t="s">
        <v>40</v>
      </c>
    </row>
    <row r="2" spans="1:4" x14ac:dyDescent="0.25">
      <c r="A2" t="s">
        <v>41</v>
      </c>
      <c r="B2" t="s">
        <v>42</v>
      </c>
      <c r="C2" t="s">
        <v>43</v>
      </c>
      <c r="D2">
        <v>18000</v>
      </c>
    </row>
    <row r="3" spans="1:4" x14ac:dyDescent="0.25">
      <c r="A3" t="s">
        <v>41</v>
      </c>
      <c r="B3" t="s">
        <v>42</v>
      </c>
      <c r="C3" t="s">
        <v>44</v>
      </c>
      <c r="D3">
        <v>3000</v>
      </c>
    </row>
    <row r="4" spans="1:4" x14ac:dyDescent="0.25">
      <c r="A4" t="s">
        <v>41</v>
      </c>
      <c r="B4" t="s">
        <v>42</v>
      </c>
      <c r="C4" t="s">
        <v>45</v>
      </c>
      <c r="D4">
        <v>1200</v>
      </c>
    </row>
    <row r="5" spans="1:4" x14ac:dyDescent="0.25">
      <c r="A5" t="s">
        <v>41</v>
      </c>
      <c r="B5" t="s">
        <v>42</v>
      </c>
      <c r="C5" t="s">
        <v>46</v>
      </c>
      <c r="D5">
        <v>800</v>
      </c>
    </row>
    <row r="6" spans="1:4" x14ac:dyDescent="0.25">
      <c r="A6" t="s">
        <v>41</v>
      </c>
      <c r="B6" t="s">
        <v>47</v>
      </c>
      <c r="C6" t="s">
        <v>43</v>
      </c>
      <c r="D6">
        <v>15000</v>
      </c>
    </row>
    <row r="7" spans="1:4" x14ac:dyDescent="0.25">
      <c r="A7" t="s">
        <v>41</v>
      </c>
      <c r="B7" t="s">
        <v>47</v>
      </c>
      <c r="C7" t="s">
        <v>44</v>
      </c>
      <c r="D7">
        <v>4000</v>
      </c>
    </row>
    <row r="8" spans="1:4" x14ac:dyDescent="0.25">
      <c r="A8" t="s">
        <v>41</v>
      </c>
      <c r="B8" t="s">
        <v>47</v>
      </c>
      <c r="C8" t="s">
        <v>45</v>
      </c>
      <c r="D8">
        <v>2000</v>
      </c>
    </row>
    <row r="9" spans="1:4" x14ac:dyDescent="0.25">
      <c r="A9" t="s">
        <v>41</v>
      </c>
      <c r="B9" t="s">
        <v>47</v>
      </c>
      <c r="C9" t="s">
        <v>46</v>
      </c>
      <c r="D9">
        <v>900</v>
      </c>
    </row>
    <row r="10" spans="1:4" x14ac:dyDescent="0.25">
      <c r="A10" t="s">
        <v>41</v>
      </c>
      <c r="B10" t="s">
        <v>48</v>
      </c>
      <c r="C10" t="s">
        <v>43</v>
      </c>
      <c r="D10">
        <v>14000</v>
      </c>
    </row>
    <row r="11" spans="1:4" x14ac:dyDescent="0.25">
      <c r="A11" t="s">
        <v>41</v>
      </c>
      <c r="B11" t="s">
        <v>48</v>
      </c>
      <c r="C11" t="s">
        <v>44</v>
      </c>
      <c r="D11">
        <v>3500</v>
      </c>
    </row>
    <row r="12" spans="1:4" x14ac:dyDescent="0.25">
      <c r="A12" t="s">
        <v>41</v>
      </c>
      <c r="B12" t="s">
        <v>48</v>
      </c>
      <c r="C12" t="s">
        <v>45</v>
      </c>
      <c r="D12">
        <v>1100</v>
      </c>
    </row>
    <row r="13" spans="1:4" x14ac:dyDescent="0.25">
      <c r="A13" t="s">
        <v>41</v>
      </c>
      <c r="B13" t="s">
        <v>48</v>
      </c>
      <c r="C13" t="s">
        <v>46</v>
      </c>
      <c r="D13">
        <v>700</v>
      </c>
    </row>
    <row r="14" spans="1:4" x14ac:dyDescent="0.25">
      <c r="A14" t="s">
        <v>49</v>
      </c>
      <c r="B14" t="s">
        <v>42</v>
      </c>
      <c r="C14" t="s">
        <v>43</v>
      </c>
      <c r="D14">
        <v>18200</v>
      </c>
    </row>
    <row r="15" spans="1:4" x14ac:dyDescent="0.25">
      <c r="A15" t="s">
        <v>49</v>
      </c>
      <c r="B15" t="s">
        <v>42</v>
      </c>
      <c r="C15" t="s">
        <v>44</v>
      </c>
      <c r="D15">
        <v>3000</v>
      </c>
    </row>
    <row r="16" spans="1:4" x14ac:dyDescent="0.25">
      <c r="A16" t="s">
        <v>49</v>
      </c>
      <c r="B16" t="s">
        <v>42</v>
      </c>
      <c r="C16" t="s">
        <v>45</v>
      </c>
      <c r="D16">
        <v>1250</v>
      </c>
    </row>
    <row r="17" spans="1:4" x14ac:dyDescent="0.25">
      <c r="A17" t="s">
        <v>49</v>
      </c>
      <c r="B17" t="s">
        <v>42</v>
      </c>
      <c r="C17" t="s">
        <v>46</v>
      </c>
      <c r="D17">
        <v>900</v>
      </c>
    </row>
    <row r="18" spans="1:4" x14ac:dyDescent="0.25">
      <c r="A18" t="s">
        <v>49</v>
      </c>
      <c r="B18" t="s">
        <v>47</v>
      </c>
      <c r="C18" t="s">
        <v>43</v>
      </c>
      <c r="D18">
        <v>15200</v>
      </c>
    </row>
    <row r="19" spans="1:4" x14ac:dyDescent="0.25">
      <c r="A19" t="s">
        <v>49</v>
      </c>
      <c r="B19" t="s">
        <v>47</v>
      </c>
      <c r="C19" t="s">
        <v>44</v>
      </c>
      <c r="D19">
        <v>4000</v>
      </c>
    </row>
    <row r="20" spans="1:4" x14ac:dyDescent="0.25">
      <c r="A20" t="s">
        <v>49</v>
      </c>
      <c r="B20" t="s">
        <v>47</v>
      </c>
      <c r="C20" t="s">
        <v>45</v>
      </c>
      <c r="D20">
        <v>2100</v>
      </c>
    </row>
    <row r="21" spans="1:4" x14ac:dyDescent="0.25">
      <c r="A21" t="s">
        <v>49</v>
      </c>
      <c r="B21" t="s">
        <v>47</v>
      </c>
      <c r="C21" t="s">
        <v>46</v>
      </c>
      <c r="D21">
        <v>950</v>
      </c>
    </row>
    <row r="22" spans="1:4" x14ac:dyDescent="0.25">
      <c r="A22" t="s">
        <v>49</v>
      </c>
      <c r="B22" t="s">
        <v>48</v>
      </c>
      <c r="C22" t="s">
        <v>43</v>
      </c>
      <c r="D22">
        <v>14100</v>
      </c>
    </row>
    <row r="23" spans="1:4" x14ac:dyDescent="0.25">
      <c r="A23" t="s">
        <v>49</v>
      </c>
      <c r="B23" t="s">
        <v>48</v>
      </c>
      <c r="C23" t="s">
        <v>44</v>
      </c>
      <c r="D23">
        <v>3500</v>
      </c>
    </row>
    <row r="24" spans="1:4" x14ac:dyDescent="0.25">
      <c r="A24" t="s">
        <v>49</v>
      </c>
      <c r="B24" t="s">
        <v>48</v>
      </c>
      <c r="C24" t="s">
        <v>45</v>
      </c>
      <c r="D24">
        <v>1150</v>
      </c>
    </row>
    <row r="25" spans="1:4" x14ac:dyDescent="0.25">
      <c r="A25" t="s">
        <v>49</v>
      </c>
      <c r="B25" t="s">
        <v>48</v>
      </c>
      <c r="C25" t="s">
        <v>46</v>
      </c>
      <c r="D25">
        <v>750</v>
      </c>
    </row>
    <row r="26" spans="1:4" x14ac:dyDescent="0.25">
      <c r="A26" t="s">
        <v>50</v>
      </c>
      <c r="B26" t="s">
        <v>42</v>
      </c>
      <c r="C26" t="s">
        <v>43</v>
      </c>
      <c r="D26">
        <v>18500</v>
      </c>
    </row>
    <row r="27" spans="1:4" x14ac:dyDescent="0.25">
      <c r="A27" t="s">
        <v>50</v>
      </c>
      <c r="B27" t="s">
        <v>42</v>
      </c>
      <c r="C27" t="s">
        <v>44</v>
      </c>
      <c r="D27">
        <v>3000</v>
      </c>
    </row>
    <row r="28" spans="1:4" x14ac:dyDescent="0.25">
      <c r="A28" t="s">
        <v>50</v>
      </c>
      <c r="B28" t="s">
        <v>42</v>
      </c>
      <c r="C28" t="s">
        <v>45</v>
      </c>
      <c r="D28">
        <v>1300</v>
      </c>
    </row>
    <row r="29" spans="1:4" x14ac:dyDescent="0.25">
      <c r="A29" t="s">
        <v>50</v>
      </c>
      <c r="B29" t="s">
        <v>42</v>
      </c>
      <c r="C29" t="s">
        <v>46</v>
      </c>
      <c r="D29">
        <v>850</v>
      </c>
    </row>
    <row r="30" spans="1:4" x14ac:dyDescent="0.25">
      <c r="A30" t="s">
        <v>50</v>
      </c>
      <c r="B30" t="s">
        <v>47</v>
      </c>
      <c r="C30" t="s">
        <v>43</v>
      </c>
      <c r="D30">
        <v>15500</v>
      </c>
    </row>
    <row r="31" spans="1:4" x14ac:dyDescent="0.25">
      <c r="A31" t="s">
        <v>50</v>
      </c>
      <c r="B31" t="s">
        <v>47</v>
      </c>
      <c r="C31" t="s">
        <v>44</v>
      </c>
      <c r="D31">
        <v>4000</v>
      </c>
    </row>
    <row r="32" spans="1:4" x14ac:dyDescent="0.25">
      <c r="A32" t="s">
        <v>50</v>
      </c>
      <c r="B32" t="s">
        <v>47</v>
      </c>
      <c r="C32" t="s">
        <v>45</v>
      </c>
      <c r="D32">
        <v>2200</v>
      </c>
    </row>
    <row r="33" spans="1:4" x14ac:dyDescent="0.25">
      <c r="A33" t="s">
        <v>50</v>
      </c>
      <c r="B33" t="s">
        <v>47</v>
      </c>
      <c r="C33" t="s">
        <v>46</v>
      </c>
      <c r="D33">
        <v>1000</v>
      </c>
    </row>
    <row r="34" spans="1:4" x14ac:dyDescent="0.25">
      <c r="A34" t="s">
        <v>50</v>
      </c>
      <c r="B34" t="s">
        <v>48</v>
      </c>
      <c r="C34" t="s">
        <v>43</v>
      </c>
      <c r="D34">
        <v>14300</v>
      </c>
    </row>
    <row r="35" spans="1:4" x14ac:dyDescent="0.25">
      <c r="A35" t="s">
        <v>50</v>
      </c>
      <c r="B35" t="s">
        <v>48</v>
      </c>
      <c r="C35" t="s">
        <v>44</v>
      </c>
      <c r="D35">
        <v>3500</v>
      </c>
    </row>
    <row r="36" spans="1:4" x14ac:dyDescent="0.25">
      <c r="A36" t="s">
        <v>50</v>
      </c>
      <c r="B36" t="s">
        <v>48</v>
      </c>
      <c r="C36" t="s">
        <v>45</v>
      </c>
      <c r="D36">
        <v>1200</v>
      </c>
    </row>
    <row r="37" spans="1:4" x14ac:dyDescent="0.25">
      <c r="A37" t="s">
        <v>50</v>
      </c>
      <c r="B37" t="s">
        <v>48</v>
      </c>
      <c r="C37" t="s">
        <v>46</v>
      </c>
      <c r="D37">
        <v>800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Pivot_Kostenart_Monat</vt:lpstr>
      <vt:lpstr>Pivot_KOstenstellen</vt:lpstr>
      <vt:lpstr>Ausgangsdaten</vt:lpstr>
      <vt:lpstr>Daten bereinigt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Schor</dc:creator>
  <cp:lastModifiedBy>Christopher Schor</cp:lastModifiedBy>
  <dcterms:created xsi:type="dcterms:W3CDTF">2025-12-07T19:36:08Z</dcterms:created>
  <dcterms:modified xsi:type="dcterms:W3CDTF">2025-12-07T20:38:50Z</dcterms:modified>
</cp:coreProperties>
</file>
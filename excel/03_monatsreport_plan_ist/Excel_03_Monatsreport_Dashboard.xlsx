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Portfolio Jobs\"/>
    </mc:Choice>
  </mc:AlternateContent>
  <xr:revisionPtr revIDLastSave="0" documentId="13_ncr:1_{076B2402-A2AD-4D8A-96C4-4621CDD7B7FC}" xr6:coauthVersionLast="47" xr6:coauthVersionMax="47" xr10:uidLastSave="{00000000-0000-0000-0000-000000000000}"/>
  <bookViews>
    <workbookView xWindow="-24870" yWindow="2445" windowWidth="21705" windowHeight="12435" xr2:uid="{BD453E9D-124C-4D90-A417-31B2D57A3EF3}"/>
  </bookViews>
  <sheets>
    <sheet name="Dashboard_Monatsreport" sheetId="2" r:id="rId1"/>
    <sheet name="PlanIst_Date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C11" i="2"/>
  <c r="C10" i="2"/>
  <c r="C9" i="2"/>
  <c r="C7" i="2"/>
  <c r="C6" i="2"/>
  <c r="C5" i="2"/>
  <c r="C4" i="2"/>
  <c r="O4" i="1"/>
  <c r="O6" i="1"/>
  <c r="O7" i="1"/>
  <c r="N2" i="1"/>
  <c r="O2" i="1" s="1"/>
  <c r="N3" i="1"/>
  <c r="O3" i="1" s="1"/>
  <c r="N4" i="1"/>
  <c r="N5" i="1"/>
  <c r="O5" i="1" s="1"/>
  <c r="N6" i="1"/>
  <c r="N7" i="1"/>
  <c r="K2" i="1"/>
  <c r="L2" i="1" s="1"/>
  <c r="K3" i="1"/>
  <c r="L3" i="1" s="1"/>
  <c r="K4" i="1"/>
  <c r="L4" i="1" s="1"/>
  <c r="K5" i="1"/>
  <c r="K6" i="1"/>
  <c r="K7" i="1"/>
  <c r="J2" i="1"/>
  <c r="J3" i="1"/>
  <c r="J4" i="1"/>
  <c r="J5" i="1"/>
  <c r="J6" i="1"/>
  <c r="J7" i="1"/>
  <c r="M3" i="1" l="1"/>
  <c r="M4" i="1"/>
  <c r="L7" i="1"/>
  <c r="L6" i="1"/>
  <c r="L5" i="1"/>
  <c r="M5" i="1" s="1"/>
  <c r="M2" i="1"/>
  <c r="M7" i="1"/>
  <c r="M6" i="1"/>
</calcChain>
</file>

<file path=xl/sharedStrings.xml><?xml version="1.0" encoding="utf-8"?>
<sst xmlns="http://schemas.openxmlformats.org/spreadsheetml/2006/main" count="32" uniqueCount="32">
  <si>
    <t>Monat</t>
  </si>
  <si>
    <t>Plan_Umsatz</t>
  </si>
  <si>
    <t>Ist_Umsatz</t>
  </si>
  <si>
    <t>Plan_Material</t>
  </si>
  <si>
    <t>Ist_Material</t>
  </si>
  <si>
    <t>Plan_Personalkosten</t>
  </si>
  <si>
    <t>Ist_Personalkosten</t>
  </si>
  <si>
    <t>Plan_Sonstige</t>
  </si>
  <si>
    <t>Ist_Sonstige</t>
  </si>
  <si>
    <t>2024-01</t>
  </si>
  <si>
    <t>2024-02</t>
  </si>
  <si>
    <t>2024-03</t>
  </si>
  <si>
    <t>2024-04</t>
  </si>
  <si>
    <t>2024-05</t>
  </si>
  <si>
    <t>2024-06</t>
  </si>
  <si>
    <t>DB_Plan</t>
  </si>
  <si>
    <t>DB_IST</t>
  </si>
  <si>
    <t>Abw_DB</t>
  </si>
  <si>
    <t>Abw_DB_%</t>
  </si>
  <si>
    <t>Abw_Umsatz</t>
  </si>
  <si>
    <t>Abw_Umsatz_%</t>
  </si>
  <si>
    <t>DB = Deckungsbeitrag</t>
  </si>
  <si>
    <t>ADB= Abweichender Deckungsbeitrag</t>
  </si>
  <si>
    <t>Monatsreport Controlling – Plan/Ist (Jan–Jun 2024)</t>
  </si>
  <si>
    <t>Umsatz gesamt Ist</t>
  </si>
  <si>
    <t>Umsatz gesamt Plan</t>
  </si>
  <si>
    <t>Abweichung Umsatz</t>
  </si>
  <si>
    <t>Abweichung Umsatz %</t>
  </si>
  <si>
    <t>DB gesamt Ist</t>
  </si>
  <si>
    <t>DB gesamt Plan</t>
  </si>
  <si>
    <t>Abweichung DB</t>
  </si>
  <si>
    <t>Abweichung DB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</si>
</sst>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2" fillId="2" borderId="0" xfId="0" applyFont="1" applyFill="1" applyAlignment="1">
      <alignment horizontal="center"/>
    </xf>
  </cellXfs>
  <cellStyles count="1">
    <cellStyle name="Standard" xfId="0" builtinId="0"/>
  </cellStyles>
  <dxfs count="20"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numFmt numFmtId="14" formatCode="0.00%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/>
              <a:t>Plan vs. Ist Umsatz nach Monat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PlanIst_Daten!$A$2:$A$7</c:f>
              <c:strCache>
                <c:ptCount val="6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</c:strCache>
            </c:strRef>
          </c:cat>
          <c:val>
            <c:numRef>
              <c:f>PlanIst_Daten!$C$2:$C$7</c:f>
              <c:numCache>
                <c:formatCode>#,##0.00\ "€"</c:formatCode>
                <c:ptCount val="6"/>
                <c:pt idx="0">
                  <c:v>98000</c:v>
                </c:pt>
                <c:pt idx="1">
                  <c:v>105000</c:v>
                </c:pt>
                <c:pt idx="2">
                  <c:v>101000</c:v>
                </c:pt>
                <c:pt idx="3">
                  <c:v>108000</c:v>
                </c:pt>
                <c:pt idx="4">
                  <c:v>107000</c:v>
                </c:pt>
                <c:pt idx="5">
                  <c:v>112000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0-439A-8FCF-DD7A61C92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3477983"/>
        <c:axId val="1513476063"/>
      </c:barChart>
      <c:catAx>
        <c:axId val="151347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3476063"/>
        <c:crosses val="autoZero"/>
        <c:auto val="1"/>
        <c:lblAlgn val="ctr"/>
        <c:lblOffset val="100"/>
        <c:noMultiLvlLbl val="0"/>
      </c:catAx>
      <c:valAx>
        <c:axId val="151347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347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1</xdr:row>
      <xdr:rowOff>104775</xdr:rowOff>
    </xdr:from>
    <xdr:to>
      <xdr:col>10</xdr:col>
      <xdr:colOff>257175</xdr:colOff>
      <xdr:row>14</xdr:row>
      <xdr:rowOff>9525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92344F8-85A6-4232-B1C6-16318BA26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2BC1D4-9908-4095-8D1A-96E0F757D69F}" name="tbl_PlanIst" displayName="tbl_PlanIst" ref="A1:O7" totalsRowShown="0">
  <autoFilter ref="A1:O7" xr:uid="{A12BC1D4-9908-4095-8D1A-96E0F757D69F}"/>
  <tableColumns count="15">
    <tableColumn id="1" xr3:uid="{F4861591-579B-4FCF-9C78-5252C250130A}" name="Monat"/>
    <tableColumn id="2" xr3:uid="{41391F06-60D2-4A99-A306-735D21E64E0E}" name="Plan_Umsatz" dataDxfId="19"/>
    <tableColumn id="3" xr3:uid="{03DA4DA2-D332-4C64-A0A2-D646E72E3C36}" name="Ist_Umsatz" dataDxfId="18"/>
    <tableColumn id="4" xr3:uid="{304ED6A6-606B-49A0-B252-D9968CBF4871}" name="Plan_Material" dataDxfId="17"/>
    <tableColumn id="5" xr3:uid="{2AE5921D-6EB6-40FE-9CE5-DCC52BD12381}" name="Ist_Material" dataDxfId="16"/>
    <tableColumn id="6" xr3:uid="{3524C641-EF98-40FD-B0B1-4940F4F6588B}" name="Plan_Personalkosten" dataDxfId="15"/>
    <tableColumn id="7" xr3:uid="{C620F3A4-33FD-4FA4-A2DA-940B24349C0E}" name="Ist_Personalkosten" dataDxfId="14"/>
    <tableColumn id="8" xr3:uid="{C6509CB4-0F45-450A-A766-88417A96B6ED}" name="Plan_Sonstige" dataDxfId="13"/>
    <tableColumn id="9" xr3:uid="{A7CF74C9-A099-48A3-B76F-5E5D6DB565E4}" name="Ist_Sonstige" dataDxfId="12"/>
    <tableColumn id="10" xr3:uid="{48A16CA2-ECFC-4DB3-A7DB-3EE1C2C5283F}" name="DB_Plan" dataDxfId="11">
      <calculatedColumnFormula>tbl_PlanIst[[#This Row],[Plan_Umsatz]]-tbl_PlanIst[[#This Row],[Plan_Material]]-tbl_PlanIst[[#This Row],[Plan_Personalkosten]]-tbl_PlanIst[[#This Row],[Plan_Sonstige]]</calculatedColumnFormula>
    </tableColumn>
    <tableColumn id="11" xr3:uid="{D2036EDC-A520-4D3F-97A5-AD9557986306}" name="DB_IST" dataDxfId="10">
      <calculatedColumnFormula>C2-E2-G2-I2</calculatedColumnFormula>
    </tableColumn>
    <tableColumn id="12" xr3:uid="{848F6236-2FB2-4FF3-9692-2A10F7F4435C}" name="Abw_DB" dataDxfId="9">
      <calculatedColumnFormula>tbl_PlanIst[[#This Row],[DB_IST]]-tbl_PlanIst[[#This Row],[DB_Plan]]</calculatedColumnFormula>
    </tableColumn>
    <tableColumn id="13" xr3:uid="{524F6FDB-1956-4267-9286-0B6B0F6EE8B2}" name="Abw_DB_%" dataDxfId="8">
      <calculatedColumnFormula>IF(tbl_PlanIst[[#This Row],[DB_Plan]]=0,0,tbl_PlanIst[[#This Row],[Abw_DB]]/tbl_PlanIst[[#This Row],[DB_Plan]])</calculatedColumnFormula>
    </tableColumn>
    <tableColumn id="14" xr3:uid="{7C5472AD-54A4-4552-A4A1-0882EB8EC931}" name="Abw_Umsatz" dataDxfId="7">
      <calculatedColumnFormula>C2-B2</calculatedColumnFormula>
    </tableColumn>
    <tableColumn id="15" xr3:uid="{04FA4A4A-A34E-440B-9B6F-C6F64F8B7926}" name="Abw_Umsatz_%" dataDxfId="6">
      <calculatedColumnFormula>IF(tbl_PlanIst[[#This Row],[Plan_Umsatz]]=0,0,tbl_PlanIst[[#This Row],[Abw_Umsatz]]/tbl_PlanIst[[#This Row],[Plan_Umsatz]])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E778-E818-4FA6-8637-187F241E2655}">
  <dimension ref="A1:F12"/>
  <sheetViews>
    <sheetView tabSelected="1" workbookViewId="0">
      <selection activeCell="C22" sqref="C22"/>
    </sheetView>
  </sheetViews>
  <sheetFormatPr baseColWidth="10" defaultRowHeight="15" x14ac:dyDescent="0.25"/>
  <cols>
    <col min="1" max="1" width="20.85546875" bestFit="1" customWidth="1"/>
    <col min="3" max="3" width="14.7109375" customWidth="1"/>
  </cols>
  <sheetData>
    <row r="1" spans="1:6" ht="21" x14ac:dyDescent="0.35">
      <c r="A1" s="3" t="s">
        <v>23</v>
      </c>
      <c r="B1" s="3"/>
      <c r="C1" s="3"/>
      <c r="D1" s="3"/>
      <c r="E1" s="3"/>
      <c r="F1" s="3"/>
    </row>
    <row r="4" spans="1:6" x14ac:dyDescent="0.25">
      <c r="A4" t="s">
        <v>24</v>
      </c>
      <c r="C4" s="1">
        <f>SUM(tbl_PlanIst[Ist_Umsatz])</f>
        <v>631000</v>
      </c>
    </row>
    <row r="5" spans="1:6" x14ac:dyDescent="0.25">
      <c r="A5" t="s">
        <v>25</v>
      </c>
      <c r="C5" s="1">
        <f>SUM(tbl_PlanIst[Plan_Umsatz])</f>
        <v>630000</v>
      </c>
    </row>
    <row r="6" spans="1:6" x14ac:dyDescent="0.25">
      <c r="A6" t="s">
        <v>26</v>
      </c>
      <c r="C6" s="1">
        <f>C4-C5</f>
        <v>1000</v>
      </c>
    </row>
    <row r="7" spans="1:6" x14ac:dyDescent="0.25">
      <c r="A7" t="s">
        <v>27</v>
      </c>
      <c r="C7" s="2">
        <f>IF(C5=0,0,C6/C5)</f>
        <v>1.5873015873015873E-3</v>
      </c>
    </row>
    <row r="9" spans="1:6" x14ac:dyDescent="0.25">
      <c r="A9" t="s">
        <v>28</v>
      </c>
      <c r="C9" s="1">
        <f>SUM(tbl_PlanIst[DB_IST])</f>
        <v>131900</v>
      </c>
    </row>
    <row r="10" spans="1:6" x14ac:dyDescent="0.25">
      <c r="A10" t="s">
        <v>29</v>
      </c>
      <c r="C10" s="1">
        <f>SUM(tbl_PlanIst[DB_Plan])</f>
        <v>135200</v>
      </c>
    </row>
    <row r="11" spans="1:6" x14ac:dyDescent="0.25">
      <c r="A11" t="s">
        <v>30</v>
      </c>
      <c r="C11" s="1">
        <f>C9-C10</f>
        <v>-3300</v>
      </c>
    </row>
    <row r="12" spans="1:6" x14ac:dyDescent="0.25">
      <c r="A12" t="s">
        <v>31</v>
      </c>
      <c r="C12" s="2">
        <f>IF(C10=0,0,C11/C10)</f>
        <v>-2.4408284023668639E-2</v>
      </c>
    </row>
  </sheetData>
  <mergeCells count="1">
    <mergeCell ref="A1:F1"/>
  </mergeCells>
  <conditionalFormatting sqref="C6">
    <cfRule type="cellIs" dxfId="5" priority="4" operator="equal">
      <formula>0</formula>
    </cfRule>
    <cfRule type="cellIs" dxfId="4" priority="5" operator="greaterThan">
      <formula>0</formula>
    </cfRule>
    <cfRule type="cellIs" dxfId="3" priority="6" operator="lessThan">
      <formula>0</formula>
    </cfRule>
  </conditionalFormatting>
  <conditionalFormatting sqref="C11">
    <cfRule type="cellIs" dxfId="2" priority="1" operator="greater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76FB-EA9D-4DDD-846B-C0AB514DAF16}">
  <dimension ref="A1:R7"/>
  <sheetViews>
    <sheetView zoomScale="85" zoomScaleNormal="85" workbookViewId="0">
      <selection activeCell="M3" sqref="M3"/>
    </sheetView>
  </sheetViews>
  <sheetFormatPr baseColWidth="10" defaultRowHeight="15" x14ac:dyDescent="0.25"/>
  <cols>
    <col min="2" max="2" width="14.5703125" customWidth="1"/>
    <col min="3" max="3" width="12.7109375" customWidth="1"/>
    <col min="4" max="4" width="15.28515625" customWidth="1"/>
    <col min="5" max="5" width="13.7109375" bestFit="1" customWidth="1"/>
    <col min="6" max="6" width="22.140625" bestFit="1" customWidth="1"/>
    <col min="7" max="7" width="19.85546875" customWidth="1"/>
    <col min="8" max="8" width="15.42578125" customWidth="1"/>
    <col min="9" max="9" width="13.5703125" customWidth="1"/>
    <col min="13" max="13" width="12.85546875" bestFit="1" customWidth="1"/>
    <col min="14" max="14" width="14.42578125" bestFit="1" customWidth="1"/>
    <col min="15" max="15" width="16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R1" t="s">
        <v>21</v>
      </c>
    </row>
    <row r="2" spans="1:18" x14ac:dyDescent="0.25">
      <c r="A2" t="s">
        <v>9</v>
      </c>
      <c r="B2" s="1">
        <v>100000</v>
      </c>
      <c r="C2" s="1">
        <v>98000</v>
      </c>
      <c r="D2" s="1">
        <v>40000</v>
      </c>
      <c r="E2" s="1">
        <v>41000</v>
      </c>
      <c r="F2" s="1">
        <v>30000</v>
      </c>
      <c r="G2" s="1">
        <v>29500</v>
      </c>
      <c r="H2" s="1">
        <v>10000</v>
      </c>
      <c r="I2" s="1">
        <v>9500</v>
      </c>
      <c r="J2" s="1">
        <f>tbl_PlanIst[[#This Row],[Plan_Umsatz]]-tbl_PlanIst[[#This Row],[Plan_Material]]-tbl_PlanIst[[#This Row],[Plan_Personalkosten]]-tbl_PlanIst[[#This Row],[Plan_Sonstige]]</f>
        <v>20000</v>
      </c>
      <c r="K2" s="1">
        <f t="shared" ref="K2:K7" si="0">C2-E2-G2-I2</f>
        <v>18000</v>
      </c>
      <c r="L2" s="1">
        <f>tbl_PlanIst[[#This Row],[DB_IST]]-tbl_PlanIst[[#This Row],[DB_Plan]]</f>
        <v>-2000</v>
      </c>
      <c r="M2" s="2">
        <f>IF(tbl_PlanIst[[#This Row],[DB_Plan]]=0,0,tbl_PlanIst[[#This Row],[Abw_DB]]/tbl_PlanIst[[#This Row],[DB_Plan]])</f>
        <v>-0.1</v>
      </c>
      <c r="N2" s="1">
        <f t="shared" ref="N2:N7" si="1">C2-B2</f>
        <v>-2000</v>
      </c>
      <c r="O2" s="2">
        <f>IF(tbl_PlanIst[[#This Row],[Plan_Umsatz]]=0,0,tbl_PlanIst[[#This Row],[Abw_Umsatz]]/tbl_PlanIst[[#This Row],[Plan_Umsatz]])</f>
        <v>-0.02</v>
      </c>
      <c r="R2" t="s">
        <v>22</v>
      </c>
    </row>
    <row r="3" spans="1:18" x14ac:dyDescent="0.25">
      <c r="A3" t="s">
        <v>10</v>
      </c>
      <c r="B3" s="1">
        <v>102000</v>
      </c>
      <c r="C3" s="1">
        <v>105000</v>
      </c>
      <c r="D3" s="1">
        <v>40800</v>
      </c>
      <c r="E3" s="1">
        <v>42000</v>
      </c>
      <c r="F3" s="1">
        <v>30000</v>
      </c>
      <c r="G3" s="1">
        <v>30500</v>
      </c>
      <c r="H3" s="1">
        <v>10000</v>
      </c>
      <c r="I3" s="1">
        <v>10200</v>
      </c>
      <c r="J3" s="1">
        <f>tbl_PlanIst[[#This Row],[Plan_Umsatz]]-tbl_PlanIst[[#This Row],[Plan_Material]]-tbl_PlanIst[[#This Row],[Plan_Personalkosten]]-tbl_PlanIst[[#This Row],[Plan_Sonstige]]</f>
        <v>21200</v>
      </c>
      <c r="K3" s="1">
        <f t="shared" si="0"/>
        <v>22300</v>
      </c>
      <c r="L3" s="1">
        <f>tbl_PlanIst[[#This Row],[DB_IST]]-tbl_PlanIst[[#This Row],[DB_Plan]]</f>
        <v>1100</v>
      </c>
      <c r="M3" s="2">
        <f>IF(tbl_PlanIst[[#This Row],[DB_Plan]]=0,0,tbl_PlanIst[[#This Row],[Abw_DB]]/tbl_PlanIst[[#This Row],[DB_Plan]])</f>
        <v>5.1886792452830191E-2</v>
      </c>
      <c r="N3" s="1">
        <f t="shared" si="1"/>
        <v>3000</v>
      </c>
      <c r="O3" s="2">
        <f>IF(tbl_PlanIst[[#This Row],[Plan_Umsatz]]=0,0,tbl_PlanIst[[#This Row],[Abw_Umsatz]]/tbl_PlanIst[[#This Row],[Plan_Umsatz]])</f>
        <v>2.9411764705882353E-2</v>
      </c>
    </row>
    <row r="4" spans="1:18" x14ac:dyDescent="0.25">
      <c r="A4" t="s">
        <v>11</v>
      </c>
      <c r="B4" s="1">
        <v>104000</v>
      </c>
      <c r="C4" s="1">
        <v>101000</v>
      </c>
      <c r="D4" s="1">
        <v>41600</v>
      </c>
      <c r="E4" s="1">
        <v>41000</v>
      </c>
      <c r="F4" s="1">
        <v>30200</v>
      </c>
      <c r="G4" s="1">
        <v>30000</v>
      </c>
      <c r="H4" s="1">
        <v>10000</v>
      </c>
      <c r="I4" s="1">
        <v>9800</v>
      </c>
      <c r="J4" s="1">
        <f>tbl_PlanIst[[#This Row],[Plan_Umsatz]]-tbl_PlanIst[[#This Row],[Plan_Material]]-tbl_PlanIst[[#This Row],[Plan_Personalkosten]]-tbl_PlanIst[[#This Row],[Plan_Sonstige]]</f>
        <v>22200</v>
      </c>
      <c r="K4" s="1">
        <f t="shared" si="0"/>
        <v>20200</v>
      </c>
      <c r="L4" s="1">
        <f>tbl_PlanIst[[#This Row],[DB_IST]]-tbl_PlanIst[[#This Row],[DB_Plan]]</f>
        <v>-2000</v>
      </c>
      <c r="M4" s="2">
        <f>IF(tbl_PlanIst[[#This Row],[DB_Plan]]=0,0,tbl_PlanIst[[#This Row],[Abw_DB]]/tbl_PlanIst[[#This Row],[DB_Plan]])</f>
        <v>-9.0090090090090086E-2</v>
      </c>
      <c r="N4" s="1">
        <f t="shared" si="1"/>
        <v>-3000</v>
      </c>
      <c r="O4" s="2">
        <f>IF(tbl_PlanIst[[#This Row],[Plan_Umsatz]]=0,0,tbl_PlanIst[[#This Row],[Abw_Umsatz]]/tbl_PlanIst[[#This Row],[Plan_Umsatz]])</f>
        <v>-2.8846153846153848E-2</v>
      </c>
    </row>
    <row r="5" spans="1:18" x14ac:dyDescent="0.25">
      <c r="A5" t="s">
        <v>12</v>
      </c>
      <c r="B5" s="1">
        <v>106000</v>
      </c>
      <c r="C5" s="1">
        <v>108000</v>
      </c>
      <c r="D5" s="1">
        <v>42400</v>
      </c>
      <c r="E5" s="1">
        <v>43000</v>
      </c>
      <c r="F5" s="1">
        <v>30400</v>
      </c>
      <c r="G5" s="1">
        <v>31000</v>
      </c>
      <c r="H5" s="1">
        <v>10200</v>
      </c>
      <c r="I5" s="1">
        <v>10500</v>
      </c>
      <c r="J5" s="1">
        <f>tbl_PlanIst[[#This Row],[Plan_Umsatz]]-tbl_PlanIst[[#This Row],[Plan_Material]]-tbl_PlanIst[[#This Row],[Plan_Personalkosten]]-tbl_PlanIst[[#This Row],[Plan_Sonstige]]</f>
        <v>23000</v>
      </c>
      <c r="K5" s="1">
        <f t="shared" si="0"/>
        <v>23500</v>
      </c>
      <c r="L5" s="1">
        <f>tbl_PlanIst[[#This Row],[DB_IST]]-tbl_PlanIst[[#This Row],[DB_Plan]]</f>
        <v>500</v>
      </c>
      <c r="M5" s="2">
        <f>IF(tbl_PlanIst[[#This Row],[DB_Plan]]=0,0,tbl_PlanIst[[#This Row],[Abw_DB]]/tbl_PlanIst[[#This Row],[DB_Plan]])</f>
        <v>2.1739130434782608E-2</v>
      </c>
      <c r="N5" s="1">
        <f t="shared" si="1"/>
        <v>2000</v>
      </c>
      <c r="O5" s="2">
        <f>IF(tbl_PlanIst[[#This Row],[Plan_Umsatz]]=0,0,tbl_PlanIst[[#This Row],[Abw_Umsatz]]/tbl_PlanIst[[#This Row],[Plan_Umsatz]])</f>
        <v>1.8867924528301886E-2</v>
      </c>
    </row>
    <row r="6" spans="1:18" x14ac:dyDescent="0.25">
      <c r="A6" t="s">
        <v>13</v>
      </c>
      <c r="B6" s="1">
        <v>108000</v>
      </c>
      <c r="C6" s="1">
        <v>107000</v>
      </c>
      <c r="D6" s="1">
        <v>43200</v>
      </c>
      <c r="E6" s="1">
        <v>44000</v>
      </c>
      <c r="F6" s="1">
        <v>30600</v>
      </c>
      <c r="G6" s="1">
        <v>30500</v>
      </c>
      <c r="H6" s="1">
        <v>10200</v>
      </c>
      <c r="I6" s="1">
        <v>10000</v>
      </c>
      <c r="J6" s="1">
        <f>tbl_PlanIst[[#This Row],[Plan_Umsatz]]-tbl_PlanIst[[#This Row],[Plan_Material]]-tbl_PlanIst[[#This Row],[Plan_Personalkosten]]-tbl_PlanIst[[#This Row],[Plan_Sonstige]]</f>
        <v>24000</v>
      </c>
      <c r="K6" s="1">
        <f t="shared" si="0"/>
        <v>22500</v>
      </c>
      <c r="L6" s="1">
        <f>tbl_PlanIst[[#This Row],[DB_IST]]-tbl_PlanIst[[#This Row],[DB_Plan]]</f>
        <v>-1500</v>
      </c>
      <c r="M6" s="2">
        <f>IF(tbl_PlanIst[[#This Row],[DB_Plan]]=0,0,tbl_PlanIst[[#This Row],[Abw_DB]]/tbl_PlanIst[[#This Row],[DB_Plan]])</f>
        <v>-6.25E-2</v>
      </c>
      <c r="N6" s="1">
        <f t="shared" si="1"/>
        <v>-1000</v>
      </c>
      <c r="O6" s="2">
        <f>IF(tbl_PlanIst[[#This Row],[Plan_Umsatz]]=0,0,tbl_PlanIst[[#This Row],[Abw_Umsatz]]/tbl_PlanIst[[#This Row],[Plan_Umsatz]])</f>
        <v>-9.2592592592592587E-3</v>
      </c>
    </row>
    <row r="7" spans="1:18" x14ac:dyDescent="0.25">
      <c r="A7" t="s">
        <v>14</v>
      </c>
      <c r="B7" s="1">
        <v>110000</v>
      </c>
      <c r="C7" s="1">
        <v>112000</v>
      </c>
      <c r="D7" s="1">
        <v>44000</v>
      </c>
      <c r="E7" s="1">
        <v>45000</v>
      </c>
      <c r="F7" s="1">
        <v>30800</v>
      </c>
      <c r="G7" s="1">
        <v>31000</v>
      </c>
      <c r="H7" s="1">
        <v>10400</v>
      </c>
      <c r="I7" s="1">
        <v>10600</v>
      </c>
      <c r="J7" s="1">
        <f>tbl_PlanIst[[#This Row],[Plan_Umsatz]]-tbl_PlanIst[[#This Row],[Plan_Material]]-tbl_PlanIst[[#This Row],[Plan_Personalkosten]]-tbl_PlanIst[[#This Row],[Plan_Sonstige]]</f>
        <v>24800</v>
      </c>
      <c r="K7" s="1">
        <f t="shared" si="0"/>
        <v>25400</v>
      </c>
      <c r="L7" s="1">
        <f>tbl_PlanIst[[#This Row],[DB_IST]]-tbl_PlanIst[[#This Row],[DB_Plan]]</f>
        <v>600</v>
      </c>
      <c r="M7" s="2">
        <f>IF(tbl_PlanIst[[#This Row],[DB_Plan]]=0,0,tbl_PlanIst[[#This Row],[Abw_DB]]/tbl_PlanIst[[#This Row],[DB_Plan]])</f>
        <v>2.4193548387096774E-2</v>
      </c>
      <c r="N7" s="1">
        <f t="shared" si="1"/>
        <v>2000</v>
      </c>
      <c r="O7" s="2">
        <f>IF(tbl_PlanIst[[#This Row],[Plan_Umsatz]]=0,0,tbl_PlanIst[[#This Row],[Abw_Umsatz]]/tbl_PlanIst[[#This Row],[Plan_Umsatz]])</f>
        <v>1.8181818181818181E-2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Dashboard_Monatsreport</vt:lpstr>
      <vt:lpstr>PlanIst_Daten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Schor</dc:creator>
  <cp:lastModifiedBy>Christopher Schor</cp:lastModifiedBy>
  <dcterms:created xsi:type="dcterms:W3CDTF">2025-12-08T18:22:31Z</dcterms:created>
  <dcterms:modified xsi:type="dcterms:W3CDTF">2025-12-11T19:17:39Z</dcterms:modified>
</cp:coreProperties>
</file>
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Portfolio Jobs\"/>
    </mc:Choice>
  </mc:AlternateContent>
  <xr:revisionPtr revIDLastSave="0" documentId="8_{A352ED4B-50C1-4DAA-BB81-9E809F2E94CE}" xr6:coauthVersionLast="47" xr6:coauthVersionMax="47" xr10:uidLastSave="{00000000-0000-0000-0000-000000000000}"/>
  <bookViews>
    <workbookView xWindow="-120" yWindow="-120" windowWidth="29040" windowHeight="15720" xr2:uid="{0977C35B-A076-4CFE-A4A4-5BAC91F70CBC}"/>
  </bookViews>
  <sheets>
    <sheet name="BE_Szenario" sheetId="1" r:id="rId1"/>
  </sheets>
  <definedNames>
    <definedName name="_xlchart.v1.0" hidden="1">BE_Szenario!$A$9:$A$24</definedName>
    <definedName name="_xlchart.v1.1" hidden="1">BE_Szenario!$B$9:$B$24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8" i="1" s="1"/>
  <c r="B24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9" i="1"/>
  <c r="E4" i="1"/>
  <c r="E2" i="1"/>
  <c r="E3" i="1" s="1"/>
  <c r="I8" i="1" l="1"/>
</calcChain>
</file>

<file path=xl/sharedStrings.xml><?xml version="1.0" encoding="utf-8"?>
<sst xmlns="http://schemas.openxmlformats.org/spreadsheetml/2006/main" count="14" uniqueCount="14">
  <si>
    <t>Preis pro Stück</t>
  </si>
  <si>
    <t>Variable Kosten pro Stück</t>
  </si>
  <si>
    <t>Fixkosten gesamt</t>
  </si>
  <si>
    <t>geplante Menge</t>
  </si>
  <si>
    <t>Deckungsbeitrag je Stück</t>
  </si>
  <si>
    <t>Break-even-Menge</t>
  </si>
  <si>
    <t>Umsatz bei geplanter Menge</t>
  </si>
  <si>
    <t>Gewinn bei geplanter Menge</t>
  </si>
  <si>
    <t>Gewinn-Verlauf nach Menge (für Diagramm)</t>
  </si>
  <si>
    <t>Break even</t>
  </si>
  <si>
    <t>Preis</t>
  </si>
  <si>
    <t>Was-wäre-wenn-Szenario 1</t>
  </si>
  <si>
    <t>Szenario 2 – Variable Kosten ändern</t>
  </si>
  <si>
    <t xml:space="preserve">Variable Kosten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</si>
</sst>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169" fontId="0" fillId="0" borderId="4" xfId="0" applyNumberFormat="1" applyBorder="1"/>
    <xf numFmtId="169" fontId="0" fillId="0" borderId="3" xfId="0" applyNumberFormat="1" applyBorder="1"/>
    <xf numFmtId="169" fontId="0" fillId="0" borderId="5" xfId="0" applyNumberFormat="1" applyBorder="1"/>
    <xf numFmtId="169" fontId="0" fillId="0" borderId="6" xfId="0" applyNumberFormat="1" applyBorder="1"/>
    <xf numFmtId="0" fontId="1" fillId="0" borderId="1" xfId="0" applyFont="1" applyBorder="1" applyAlignment="1"/>
    <xf numFmtId="0" fontId="1" fillId="0" borderId="7" xfId="0" applyFont="1" applyBorder="1" applyAlignment="1"/>
    <xf numFmtId="0" fontId="1" fillId="0" borderId="2" xfId="0" applyFont="1" applyBorder="1"/>
    <xf numFmtId="169" fontId="0" fillId="0" borderId="0" xfId="0" applyNumberFormat="1" applyBorder="1"/>
    <xf numFmtId="0" fontId="0" fillId="0" borderId="4" xfId="0" applyBorder="1"/>
    <xf numFmtId="0" fontId="0" fillId="0" borderId="5" xfId="0" applyBorder="1"/>
    <xf numFmtId="169" fontId="0" fillId="0" borderId="8" xfId="0" applyNumberFormat="1" applyBorder="1"/>
    <xf numFmtId="0" fontId="0" fillId="0" borderId="6" xfId="0" applyBorder="1"/>
    <xf numFmtId="0" fontId="0" fillId="0" borderId="1" xfId="0" applyBorder="1"/>
    <xf numFmtId="169" fontId="0" fillId="0" borderId="7" xfId="0" applyNumberFormat="1" applyBorder="1"/>
    <xf numFmtId="0" fontId="0" fillId="0" borderId="7" xfId="0" applyBorder="1"/>
    <xf numFmtId="169" fontId="0" fillId="0" borderId="2" xfId="0" applyNumberFormat="1" applyBorder="1"/>
    <xf numFmtId="0" fontId="0" fillId="0" borderId="0" xfId="0" applyBorder="1"/>
    <xf numFmtId="0" fontId="0" fillId="0" borderId="8" xfId="0" applyBorder="1"/>
    <xf numFmtId="0" fontId="1" fillId="0" borderId="1" xfId="0" applyFont="1" applyBorder="1"/>
    <xf numFmtId="0" fontId="0" fillId="0" borderId="2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de-DE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Gewinn in Abhängigkeit von der Menge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BE_Szenario!$B$9:$B$24</c:f>
              <c:numCache>
                <c:formatCode>General</c:formatCode>
                <c:ptCount val="16"/>
                <c:pt idx="0">
                  <c:v>-30000</c:v>
                </c:pt>
                <c:pt idx="1">
                  <c:v>-22000</c:v>
                </c:pt>
                <c:pt idx="2">
                  <c:v>-14000</c:v>
                </c:pt>
                <c:pt idx="3">
                  <c:v>-6000</c:v>
                </c:pt>
                <c:pt idx="4">
                  <c:v>2000</c:v>
                </c:pt>
                <c:pt idx="5">
                  <c:v>10000</c:v>
                </c:pt>
                <c:pt idx="6">
                  <c:v>18000</c:v>
                </c:pt>
                <c:pt idx="7">
                  <c:v>26000</c:v>
                </c:pt>
                <c:pt idx="8">
                  <c:v>34000</c:v>
                </c:pt>
                <c:pt idx="9">
                  <c:v>42000</c:v>
                </c:pt>
                <c:pt idx="10">
                  <c:v>50000</c:v>
                </c:pt>
                <c:pt idx="11">
                  <c:v>58000</c:v>
                </c:pt>
                <c:pt idx="12">
                  <c:v>66000</c:v>
                </c:pt>
                <c:pt idx="13">
                  <c:v>74000</c:v>
                </c:pt>
                <c:pt idx="14">
                  <c:v>82000</c:v>
                </c:pt>
                <c:pt idx="15">
                  <c:v>90000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BE_Szenario!$A$9:$A$24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200</c:v>
                      </c:pt>
                      <c:pt idx="2">
                        <c:v>400</c:v>
                      </c:pt>
                      <c:pt idx="3">
                        <c:v>600</c:v>
                      </c:pt>
                      <c:pt idx="4">
                        <c:v>800</c:v>
                      </c:pt>
                      <c:pt idx="5">
                        <c:v>1000</c:v>
                      </c:pt>
                      <c:pt idx="6">
                        <c:v>1200</c:v>
                      </c:pt>
                      <c:pt idx="7">
                        <c:v>1400</c:v>
                      </c:pt>
                      <c:pt idx="8">
                        <c:v>1600</c:v>
                      </c:pt>
                      <c:pt idx="9">
                        <c:v>1800</c:v>
                      </c:pt>
                      <c:pt idx="10">
                        <c:v>2000</c:v>
                      </c:pt>
                      <c:pt idx="11">
                        <c:v>2200</c:v>
                      </c:pt>
                      <c:pt idx="12">
                        <c:v>2400</c:v>
                      </c:pt>
                      <c:pt idx="13">
                        <c:v>2600</c:v>
                      </c:pt>
                      <c:pt idx="14">
                        <c:v>2800</c:v>
                      </c:pt>
                      <c:pt idx="15">
                        <c:v>3000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7BC2-4C3A-9B69-F3D179FBD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3170080"/>
        <c:axId val="1903166240"/>
      </c:barChart>
      <c:catAx>
        <c:axId val="190317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03166240"/>
        <c:crosses val="autoZero"/>
        <c:auto val="1"/>
        <c:lblAlgn val="ctr"/>
        <c:lblOffset val="100"/>
        <c:noMultiLvlLbl val="0"/>
      </c:catAx>
      <c:valAx>
        <c:axId val="190316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0317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38100</xdr:rowOff>
    </xdr:from>
    <xdr:to>
      <xdr:col>3</xdr:col>
      <xdr:colOff>1000126</xdr:colOff>
      <xdr:row>39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F4E2215-1E07-7332-8A28-7440B3EDB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6025-6574-41AC-B203-91F866080F19}">
  <dimension ref="A1:S24"/>
  <sheetViews>
    <sheetView tabSelected="1" zoomScale="85" zoomScaleNormal="85" workbookViewId="0">
      <selection activeCell="D25" sqref="D25"/>
    </sheetView>
  </sheetViews>
  <sheetFormatPr baseColWidth="10" defaultRowHeight="15" x14ac:dyDescent="0.25"/>
  <cols>
    <col min="1" max="1" width="23.7109375" bestFit="1" customWidth="1"/>
    <col min="4" max="4" width="25.85546875" bestFit="1" customWidth="1"/>
    <col min="6" max="6" width="15" customWidth="1"/>
    <col min="8" max="8" width="15.28515625" customWidth="1"/>
    <col min="9" max="9" width="25.85546875" bestFit="1" customWidth="1"/>
  </cols>
  <sheetData>
    <row r="1" spans="1:19" ht="15.75" thickBot="1" x14ac:dyDescent="0.3">
      <c r="S1" t="s">
        <v>9</v>
      </c>
    </row>
    <row r="2" spans="1:19" x14ac:dyDescent="0.25">
      <c r="A2" s="16" t="s">
        <v>0</v>
      </c>
      <c r="B2" s="17">
        <v>100</v>
      </c>
      <c r="C2" s="18"/>
      <c r="D2" s="18" t="s">
        <v>4</v>
      </c>
      <c r="E2" s="19">
        <f xml:space="preserve"> B2 - B3</f>
        <v>40</v>
      </c>
    </row>
    <row r="3" spans="1:19" x14ac:dyDescent="0.25">
      <c r="A3" s="3" t="s">
        <v>1</v>
      </c>
      <c r="B3" s="11">
        <v>60</v>
      </c>
      <c r="C3" s="20"/>
      <c r="D3" s="20" t="s">
        <v>5</v>
      </c>
      <c r="E3" s="12">
        <f xml:space="preserve"> B4 / E2</f>
        <v>750</v>
      </c>
    </row>
    <row r="4" spans="1:19" x14ac:dyDescent="0.25">
      <c r="A4" s="3" t="s">
        <v>2</v>
      </c>
      <c r="B4" s="11">
        <v>30000</v>
      </c>
      <c r="C4" s="20"/>
      <c r="D4" s="20" t="s">
        <v>6</v>
      </c>
      <c r="E4" s="4">
        <f xml:space="preserve"> B2 * B5</f>
        <v>100000</v>
      </c>
    </row>
    <row r="5" spans="1:19" ht="15.75" thickBot="1" x14ac:dyDescent="0.3">
      <c r="A5" s="13" t="s">
        <v>3</v>
      </c>
      <c r="B5" s="21">
        <v>1000</v>
      </c>
      <c r="C5" s="21"/>
      <c r="D5" s="21" t="s">
        <v>7</v>
      </c>
      <c r="E5" s="7">
        <f xml:space="preserve"> (B2 - B3) * B5 - B4</f>
        <v>10000</v>
      </c>
    </row>
    <row r="6" spans="1:19" ht="15.75" thickBot="1" x14ac:dyDescent="0.3"/>
    <row r="7" spans="1:19" ht="15.75" thickBot="1" x14ac:dyDescent="0.3">
      <c r="E7" s="1" t="s">
        <v>11</v>
      </c>
      <c r="F7" s="2"/>
      <c r="H7" s="22" t="s">
        <v>12</v>
      </c>
      <c r="I7" s="23"/>
    </row>
    <row r="8" spans="1:19" x14ac:dyDescent="0.25">
      <c r="A8" s="8" t="s">
        <v>8</v>
      </c>
      <c r="B8" s="9"/>
      <c r="C8" s="10"/>
      <c r="E8" s="3" t="s">
        <v>10</v>
      </c>
      <c r="F8" s="4">
        <f>E5</f>
        <v>10000</v>
      </c>
      <c r="H8" s="3" t="s">
        <v>13</v>
      </c>
      <c r="I8" s="4">
        <f xml:space="preserve"> $E$5</f>
        <v>10000</v>
      </c>
    </row>
    <row r="9" spans="1:19" x14ac:dyDescent="0.25">
      <c r="A9" s="3">
        <v>0</v>
      </c>
      <c r="B9" s="11">
        <f xml:space="preserve"> ( $B$2 - $B$3 ) * A9 - $B$4</f>
        <v>-30000</v>
      </c>
      <c r="C9" s="12"/>
      <c r="E9" s="5">
        <v>90</v>
      </c>
      <c r="F9" s="4">
        <f t="dataTable" ref="F9:F13" dt2D="0" dtr="0" r1="B2" ca="1"/>
        <v>0</v>
      </c>
      <c r="H9" s="3">
        <v>50</v>
      </c>
      <c r="I9" s="4">
        <f t="dataTable" ref="I9:I13" dt2D="0" dtr="0" r1="B3"/>
        <v>20000</v>
      </c>
    </row>
    <row r="10" spans="1:19" x14ac:dyDescent="0.25">
      <c r="A10" s="3">
        <v>200</v>
      </c>
      <c r="B10" s="11">
        <f t="shared" ref="B10:B24" si="0" xml:space="preserve"> ( $B$2 - $B$3 ) * A10 - $B$4</f>
        <v>-22000</v>
      </c>
      <c r="C10" s="12"/>
      <c r="E10" s="5">
        <v>95</v>
      </c>
      <c r="F10" s="4">
        <v>5000</v>
      </c>
      <c r="H10" s="3">
        <v>55</v>
      </c>
      <c r="I10" s="4">
        <v>15000</v>
      </c>
    </row>
    <row r="11" spans="1:19" x14ac:dyDescent="0.25">
      <c r="A11" s="3">
        <v>400</v>
      </c>
      <c r="B11" s="11">
        <f t="shared" si="0"/>
        <v>-14000</v>
      </c>
      <c r="C11" s="12"/>
      <c r="E11" s="5">
        <v>100</v>
      </c>
      <c r="F11" s="4">
        <v>10000</v>
      </c>
      <c r="H11" s="3">
        <v>60</v>
      </c>
      <c r="I11" s="4">
        <v>10000</v>
      </c>
    </row>
    <row r="12" spans="1:19" x14ac:dyDescent="0.25">
      <c r="A12" s="3">
        <v>600</v>
      </c>
      <c r="B12" s="11">
        <f t="shared" si="0"/>
        <v>-6000</v>
      </c>
      <c r="C12" s="12"/>
      <c r="E12" s="5">
        <v>105</v>
      </c>
      <c r="F12" s="4">
        <v>15000</v>
      </c>
      <c r="H12" s="3">
        <v>65</v>
      </c>
      <c r="I12" s="4">
        <v>5000</v>
      </c>
    </row>
    <row r="13" spans="1:19" ht="15.75" thickBot="1" x14ac:dyDescent="0.3">
      <c r="A13" s="3">
        <v>800</v>
      </c>
      <c r="B13" s="11">
        <f t="shared" si="0"/>
        <v>2000</v>
      </c>
      <c r="C13" s="12"/>
      <c r="E13" s="6">
        <v>110</v>
      </c>
      <c r="F13" s="7">
        <v>20000</v>
      </c>
      <c r="H13" s="13">
        <v>70</v>
      </c>
      <c r="I13" s="7">
        <v>0</v>
      </c>
    </row>
    <row r="14" spans="1:19" x14ac:dyDescent="0.25">
      <c r="A14" s="3">
        <v>1000</v>
      </c>
      <c r="B14" s="11">
        <f t="shared" si="0"/>
        <v>10000</v>
      </c>
      <c r="C14" s="12"/>
    </row>
    <row r="15" spans="1:19" x14ac:dyDescent="0.25">
      <c r="A15" s="3">
        <v>1200</v>
      </c>
      <c r="B15" s="11">
        <f t="shared" si="0"/>
        <v>18000</v>
      </c>
      <c r="C15" s="12"/>
    </row>
    <row r="16" spans="1:19" x14ac:dyDescent="0.25">
      <c r="A16" s="3">
        <v>1400</v>
      </c>
      <c r="B16" s="11">
        <f t="shared" si="0"/>
        <v>26000</v>
      </c>
      <c r="C16" s="12"/>
    </row>
    <row r="17" spans="1:3" x14ac:dyDescent="0.25">
      <c r="A17" s="3">
        <v>1600</v>
      </c>
      <c r="B17" s="11">
        <f t="shared" si="0"/>
        <v>34000</v>
      </c>
      <c r="C17" s="12"/>
    </row>
    <row r="18" spans="1:3" x14ac:dyDescent="0.25">
      <c r="A18" s="3">
        <v>1800</v>
      </c>
      <c r="B18" s="11">
        <f t="shared" si="0"/>
        <v>42000</v>
      </c>
      <c r="C18" s="12"/>
    </row>
    <row r="19" spans="1:3" x14ac:dyDescent="0.25">
      <c r="A19" s="3">
        <v>2000</v>
      </c>
      <c r="B19" s="11">
        <f t="shared" si="0"/>
        <v>50000</v>
      </c>
      <c r="C19" s="12"/>
    </row>
    <row r="20" spans="1:3" x14ac:dyDescent="0.25">
      <c r="A20" s="3">
        <v>2200</v>
      </c>
      <c r="B20" s="11">
        <f t="shared" si="0"/>
        <v>58000</v>
      </c>
      <c r="C20" s="12"/>
    </row>
    <row r="21" spans="1:3" x14ac:dyDescent="0.25">
      <c r="A21" s="3">
        <v>2400</v>
      </c>
      <c r="B21" s="11">
        <f t="shared" si="0"/>
        <v>66000</v>
      </c>
      <c r="C21" s="12"/>
    </row>
    <row r="22" spans="1:3" x14ac:dyDescent="0.25">
      <c r="A22" s="3">
        <v>2600</v>
      </c>
      <c r="B22" s="11">
        <f t="shared" si="0"/>
        <v>74000</v>
      </c>
      <c r="C22" s="12"/>
    </row>
    <row r="23" spans="1:3" x14ac:dyDescent="0.25">
      <c r="A23" s="3">
        <v>2800</v>
      </c>
      <c r="B23" s="11">
        <f t="shared" si="0"/>
        <v>82000</v>
      </c>
      <c r="C23" s="12"/>
    </row>
    <row r="24" spans="1:3" ht="15.75" thickBot="1" x14ac:dyDescent="0.3">
      <c r="A24" s="13">
        <v>3000</v>
      </c>
      <c r="B24" s="14">
        <f xml:space="preserve"> ( $B$2 - $B$3 ) * A24 - $B$4</f>
        <v>90000</v>
      </c>
      <c r="C24" s="15"/>
    </row>
  </sheetData>
  <mergeCells count="1">
    <mergeCell ref="E7:F7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BE_Szenario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Schor</dc:creator>
  <cp:lastModifiedBy>Christopher Schor</cp:lastModifiedBy>
  <dcterms:created xsi:type="dcterms:W3CDTF">2025-12-09T18:15:59Z</dcterms:created>
  <dcterms:modified xsi:type="dcterms:W3CDTF">2025-12-09T20:10:37Z</dcterms:modified>
</cp:coreProperties>
</file>